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ivot_Analysis" sheetId="2" r:id="rId1"/>
    <sheet name="Raw_Data" sheetId="1" r:id="rId2"/>
  </sheets>
  <definedNames>
    <definedName name="Slicer_Date">#N/A</definedName>
    <definedName name="Slicer_Region">#N/A</definedName>
    <definedName name="Slicer_Salesperson">#N/A</definedName>
    <definedName name="Slicer_Product_Category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<sst xmlns="http://schemas.openxmlformats.org/spreadsheetml/2006/main" count="73" uniqueCount="28">
  <si>
    <t>Region</t>
  </si>
  <si>
    <t>Sum of Revenue</t>
  </si>
  <si>
    <t>Total Revenue</t>
  </si>
  <si>
    <t>Total Units Sold</t>
  </si>
  <si>
    <t>East</t>
  </si>
  <si>
    <t>North</t>
  </si>
  <si>
    <t>South</t>
  </si>
  <si>
    <t>West</t>
  </si>
  <si>
    <t>Grand Total</t>
  </si>
  <si>
    <t>Date</t>
  </si>
  <si>
    <t>Salesperson</t>
  </si>
  <si>
    <t>Product_Category</t>
  </si>
  <si>
    <t>Revenue</t>
  </si>
  <si>
    <t>Units_Sold</t>
  </si>
  <si>
    <t>Alice</t>
  </si>
  <si>
    <t>Electronics</t>
  </si>
  <si>
    <t>Bob</t>
  </si>
  <si>
    <t>Furniture</t>
  </si>
  <si>
    <t>Charlie</t>
  </si>
  <si>
    <t>Diana</t>
  </si>
  <si>
    <t>Office Supplies</t>
  </si>
  <si>
    <t>15/01/2024</t>
  </si>
  <si>
    <t>18/01/2024</t>
  </si>
  <si>
    <t>20/01/2024</t>
  </si>
  <si>
    <t>23/01/2024</t>
  </si>
  <si>
    <t>25/01/2024</t>
  </si>
  <si>
    <t>28/01/2024</t>
  </si>
  <si>
    <t>30/01/2024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</si>
</sst>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  <numFmt numFmtId="179" formatCode="[$ZAR]\ #,##0.00;[$ZAR]\ \-#,##0.00"/>
    <numFmt numFmtId="180" formatCode="0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0" fontId="1" fillId="0" borderId="0" xfId="0" applyFont="1">
      <alignment vertical="center"/>
    </xf>
    <xf numFmtId="17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0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78" formatCode="mm/dd/yy;@"/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4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[Sales_Performance_Dashboard.xlsx]Pivot_Analysis!PivotTable1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Pivot_Analysis!$B$4:$B$8</c:f>
              <c:numCache>
                <c:formatCode>#,##0</c:formatCode>
                <c:ptCount val="4"/>
                <c:pt idx="0">
                  <c:v>46000</c:v>
                </c:pt>
                <c:pt idx="1">
                  <c:v>42000</c:v>
                </c:pt>
                <c:pt idx="2">
                  <c:v>29500</c:v>
                </c:pt>
                <c:pt idx="3">
                  <c:v>35000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8"/>
        <c:axId val="439325737"/>
        <c:axId val="533123386"/>
      </c:barChart>
      <c:catAx>
        <c:axId val="4393257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23386"/>
        <c:crosses val="autoZero"/>
        <c:auto val="1"/>
        <c:lblAlgn val="ctr"/>
        <c:lblOffset val="100"/>
        <c:noMultiLvlLbl val="0"/>
      </c:catAx>
      <c:valAx>
        <c:axId val="5331233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3257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ffc190-ec60-41e9-8246-b81c1e2ada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[Sales_Performance_Dashboard.xlsx]Raw_Data!PivotTable1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40"/>
              <a:t>Revenue by Product Category</a:t>
            </a:r>
            <a:endParaRPr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Raw_Data!$D$23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Raw_Data!$C$24:$C$27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Raw_Data!$D$24:$D$27</c:f>
              <c:numCache>
                <c:formatCode>General</c:formatCode>
                <c:ptCount val="3"/>
                <c:pt idx="0">
                  <c:v>103000</c:v>
                </c:pt>
                <c:pt idx="1">
                  <c:v>34000</c:v>
                </c:pt>
                <c:pt idx="2">
                  <c:v>15500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43412195"/>
        <c:axId val="435490833"/>
      </c:barChart>
      <c:catAx>
        <c:axId val="9434121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490833"/>
        <c:crosses val="autoZero"/>
        <c:auto val="1"/>
        <c:lblAlgn val="ctr"/>
        <c:lblOffset val="100"/>
        <c:noMultiLvlLbl val="0"/>
      </c:catAx>
      <c:valAx>
        <c:axId val="4354908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34121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671c01-8474-4fb5-82e8-13fc659856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2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33020</xdr:colOff>
      <xdr:row>1</xdr:row>
      <xdr:rowOff>30480</xdr:rowOff>
    </xdr:from>
    <xdr:to>
      <xdr:col>10</xdr:col>
      <xdr:colOff>591820</xdr:colOff>
      <xdr:row>16</xdr:row>
      <xdr:rowOff>30480</xdr:rowOff>
    </xdr:to>
    <xdr:graphicFrame>
      <xdr:nvGraphicFramePr>
        <xdr:cNvPr id="2" name="Chart 1"/>
        <xdr:cNvGraphicFramePr/>
      </xdr:nvGraphicFramePr>
      <xdr:xfrm>
        <a:off x="2547620" y="213360"/>
        <a:ext cx="482600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132080</xdr:colOff>
      <xdr:row>17</xdr:row>
      <xdr:rowOff>22860</xdr:rowOff>
    </xdr:from>
    <xdr:to>
      <xdr:col>5</xdr:col>
      <xdr:colOff>132080</xdr:colOff>
      <xdr:row>30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7080" y="32232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327660</xdr:colOff>
      <xdr:row>17</xdr:row>
      <xdr:rowOff>20320</xdr:rowOff>
    </xdr:from>
    <xdr:to>
      <xdr:col>8</xdr:col>
      <xdr:colOff>327660</xdr:colOff>
      <xdr:row>30</xdr:row>
      <xdr:rowOff>17780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ales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1460" y="32207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485140</xdr:colOff>
      <xdr:row>17</xdr:row>
      <xdr:rowOff>10160</xdr:rowOff>
    </xdr:from>
    <xdr:to>
      <xdr:col>11</xdr:col>
      <xdr:colOff>485140</xdr:colOff>
      <xdr:row>30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roduct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7740" y="32105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38100</xdr:colOff>
      <xdr:row>5</xdr:row>
      <xdr:rowOff>53340</xdr:rowOff>
    </xdr:from>
    <xdr:to>
      <xdr:col>16</xdr:col>
      <xdr:colOff>215900</xdr:colOff>
      <xdr:row>19</xdr:row>
      <xdr:rowOff>144780</xdr:rowOff>
    </xdr:to>
    <xdr:graphicFrame>
      <xdr:nvGraphicFramePr>
        <xdr:cNvPr id="6" name="Chart 5"/>
        <xdr:cNvGraphicFramePr/>
      </xdr:nvGraphicFramePr>
      <xdr:xfrm>
        <a:off x="8648700" y="967740"/>
        <a:ext cx="28600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596900</xdr:colOff>
      <xdr:row>16</xdr:row>
      <xdr:rowOff>167640</xdr:rowOff>
    </xdr:from>
    <xdr:to>
      <xdr:col>19</xdr:col>
      <xdr:colOff>596900</xdr:colOff>
      <xdr:row>29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9740" y="31851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2.8503587963" refreshedBy="Fabian" recordCount="15">
  <cacheSource type="worksheet">
    <worksheetSource name="Table1"/>
  </cacheSource>
  <cacheFields count="6">
    <cacheField name="Date" numFmtId="178">
      <sharedItems containsDate="1" containsMixedTypes="1" count="15">
        <d v="2024-01-01T00:00:00"/>
        <d v="2024-03-01T00:00:00"/>
        <d v="2024-05-01T00:00:00"/>
        <d v="2024-07-01T00:00:00"/>
        <d v="2024-10-01T00:00:00"/>
        <d v="2024-12-01T00:00:00"/>
        <s v="15/01/2024"/>
        <s v="18/01/2024"/>
        <s v="20/01/2024"/>
        <s v="23/01/2024"/>
        <s v="25/01/2024"/>
        <s v="28/01/2024"/>
        <s v="30/01/2024"/>
        <d v="2024-02-02T00:00:00"/>
        <d v="2024-05-02T00:00:00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Alice"/>
        <s v="Bob"/>
        <s v="Charlie"/>
        <s v="Diana"/>
      </sharedItems>
    </cacheField>
    <cacheField name="Product_Category" numFmtId="0">
      <sharedItems count="3">
        <s v="Electronics"/>
        <s v="Furniture"/>
        <s v="Office Supplies"/>
      </sharedItems>
    </cacheField>
    <cacheField name="Revenue" numFmtId="0">
      <sharedItems containsSemiMixedTypes="0" containsString="0" containsNumber="1" containsInteger="1" minValue="0" maxValue="18000" count="15">
        <n v="12000"/>
        <n v="8000"/>
        <n v="15000"/>
        <n v="4000"/>
        <n v="9000"/>
        <n v="11000"/>
        <n v="3000"/>
        <n v="17000"/>
        <n v="5000"/>
        <n v="7000"/>
        <n v="10000"/>
        <n v="14000"/>
        <n v="16000"/>
        <n v="3500"/>
        <n v="18000"/>
      </sharedItems>
    </cacheField>
    <cacheField name="Units_Sold" numFmtId="0">
      <sharedItems containsSemiMixedTypes="0" containsString="0" containsNumber="1" containsInteger="1" minValue="0" maxValue="60" count="15">
        <n v="25"/>
        <n v="10"/>
        <n v="30"/>
        <n v="50"/>
        <n v="12"/>
        <n v="20"/>
        <n v="40"/>
        <n v="35"/>
        <n v="60"/>
        <n v="8"/>
        <n v="15"/>
        <n v="28"/>
        <n v="32"/>
        <n v="45"/>
        <n v="3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</r>
  <r>
    <x v="1"/>
    <x v="1"/>
    <x v="1"/>
    <x v="1"/>
    <x v="1"/>
    <x v="1"/>
  </r>
  <r>
    <x v="2"/>
    <x v="2"/>
    <x v="2"/>
    <x v="0"/>
    <x v="2"/>
    <x v="2"/>
  </r>
  <r>
    <x v="3"/>
    <x v="3"/>
    <x v="3"/>
    <x v="2"/>
    <x v="3"/>
    <x v="3"/>
  </r>
  <r>
    <x v="4"/>
    <x v="0"/>
    <x v="0"/>
    <x v="1"/>
    <x v="4"/>
    <x v="4"/>
  </r>
  <r>
    <x v="5"/>
    <x v="1"/>
    <x v="1"/>
    <x v="0"/>
    <x v="5"/>
    <x v="5"/>
  </r>
  <r>
    <x v="6"/>
    <x v="2"/>
    <x v="2"/>
    <x v="2"/>
    <x v="6"/>
    <x v="6"/>
  </r>
  <r>
    <x v="7"/>
    <x v="3"/>
    <x v="3"/>
    <x v="0"/>
    <x v="7"/>
    <x v="7"/>
  </r>
  <r>
    <x v="8"/>
    <x v="0"/>
    <x v="0"/>
    <x v="2"/>
    <x v="8"/>
    <x v="8"/>
  </r>
  <r>
    <x v="9"/>
    <x v="1"/>
    <x v="1"/>
    <x v="1"/>
    <x v="9"/>
    <x v="9"/>
  </r>
  <r>
    <x v="10"/>
    <x v="2"/>
    <x v="2"/>
    <x v="1"/>
    <x v="10"/>
    <x v="10"/>
  </r>
  <r>
    <x v="11"/>
    <x v="3"/>
    <x v="3"/>
    <x v="0"/>
    <x v="11"/>
    <x v="11"/>
  </r>
  <r>
    <x v="12"/>
    <x v="0"/>
    <x v="0"/>
    <x v="0"/>
    <x v="12"/>
    <x v="12"/>
  </r>
  <r>
    <x v="13"/>
    <x v="1"/>
    <x v="1"/>
    <x v="2"/>
    <x v="13"/>
    <x v="13"/>
  </r>
  <r>
    <x v="14"/>
    <x v="2"/>
    <x v="2"/>
    <x v="0"/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6">
    <pivotField compact="0" showAll="0">
      <items count="16">
        <item x="6"/>
        <item x="7"/>
        <item x="8"/>
        <item x="9"/>
        <item x="10"/>
        <item x="11"/>
        <item x="12"/>
        <item x="0"/>
        <item x="13"/>
        <item x="1"/>
        <item x="2"/>
        <item x="14"/>
        <item x="3"/>
        <item x="4"/>
        <item x="5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6">
        <item x="6"/>
        <item x="13"/>
        <item x="3"/>
        <item x="8"/>
        <item x="9"/>
        <item x="1"/>
        <item x="4"/>
        <item x="10"/>
        <item x="5"/>
        <item x="0"/>
        <item x="11"/>
        <item x="2"/>
        <item x="12"/>
        <item x="7"/>
        <item x="14"/>
        <item t="default"/>
      </items>
    </pivotField>
    <pivotField compact="0" showAll="0">
      <items count="16">
        <item x="9"/>
        <item x="1"/>
        <item x="4"/>
        <item x="10"/>
        <item x="5"/>
        <item x="0"/>
        <item x="11"/>
        <item x="2"/>
        <item x="12"/>
        <item x="7"/>
        <item x="14"/>
        <item x="6"/>
        <item x="13"/>
        <item x="3"/>
        <item x="8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 numFmtId="3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N3:O4" firstHeaderRow="0" firstDataRow="1" firstDataCol="0"/>
  <pivotFields count="6">
    <pivotField compact="0" showAll="0">
      <items count="16">
        <item x="6"/>
        <item x="7"/>
        <item x="8"/>
        <item x="9"/>
        <item x="10"/>
        <item x="11"/>
        <item x="12"/>
        <item x="0"/>
        <item x="13"/>
        <item x="1"/>
        <item x="2"/>
        <item x="14"/>
        <item x="3"/>
        <item x="4"/>
        <item x="5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6">
        <item x="6"/>
        <item x="13"/>
        <item x="3"/>
        <item x="8"/>
        <item x="9"/>
        <item x="1"/>
        <item x="4"/>
        <item x="10"/>
        <item x="5"/>
        <item x="0"/>
        <item x="11"/>
        <item x="2"/>
        <item x="12"/>
        <item x="7"/>
        <item x="14"/>
        <item t="default"/>
      </items>
    </pivotField>
    <pivotField dataField="1" compact="0" showAll="0">
      <items count="16">
        <item x="9"/>
        <item x="1"/>
        <item x="4"/>
        <item x="10"/>
        <item x="5"/>
        <item x="0"/>
        <item x="11"/>
        <item x="2"/>
        <item x="12"/>
        <item x="7"/>
        <item x="14"/>
        <item x="6"/>
        <item x="13"/>
        <item x="3"/>
        <item x="8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evenue" fld="4" baseField="0" baseItem="0" numFmtId="179"/>
    <dataField name="Total Units Sold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23:D27" firstHeaderRow="1" firstDataRow="1" firstDataCol="1"/>
  <pivotFields count="6">
    <pivotField compact="0" showAll="0">
      <items count="16">
        <item x="6"/>
        <item x="7"/>
        <item x="8"/>
        <item x="9"/>
        <item x="10"/>
        <item x="11"/>
        <item x="12"/>
        <item x="0"/>
        <item x="13"/>
        <item x="1"/>
        <item x="2"/>
        <item x="14"/>
        <item x="3"/>
        <item x="4"/>
        <item x="5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16">
        <item x="6"/>
        <item x="13"/>
        <item x="3"/>
        <item x="8"/>
        <item x="9"/>
        <item x="1"/>
        <item x="4"/>
        <item x="10"/>
        <item x="5"/>
        <item x="0"/>
        <item x="11"/>
        <item x="2"/>
        <item x="12"/>
        <item x="7"/>
        <item x="14"/>
        <item t="default"/>
      </items>
    </pivotField>
    <pivotField compact="0" showAll="0">
      <items count="16">
        <item x="9"/>
        <item x="1"/>
        <item x="4"/>
        <item x="10"/>
        <item x="5"/>
        <item x="0"/>
        <item x="11"/>
        <item x="2"/>
        <item x="12"/>
        <item x="7"/>
        <item x="14"/>
        <item x="6"/>
        <item x="13"/>
        <item x="3"/>
        <item x="8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2" name="PivotTable1"/>
    <pivotTable tabId="2" name="PivotTable2"/>
    <pivotTable tabId="1" name="PivotTable1"/>
  </pivotTables>
  <data>
    <tabular pivotCacheId="1">
      <items count="15">
        <i x="6" s="1"/>
        <i x="7" s="1"/>
        <i x="8" s="1"/>
        <i x="9" s="1"/>
        <i x="10" s="1"/>
        <i x="11" s="1"/>
        <i x="12" s="1"/>
        <i x="0" s="1"/>
        <i x="13" s="1"/>
        <i x="1" s="1"/>
        <i x="2" s="1"/>
        <i x="14" s="1"/>
        <i x="3" s="1"/>
        <i x="4" s="1"/>
        <i x="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" sourceName="Salesperson">
  <pivotTables>
    <pivotTable tabId="2" name="PivotTable1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_Category">
  <pivotTables>
    <pivotTable tabId="2" name="PivotTable1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Salesperson" cache="Slicer_Salesperson" caption="Salesperson" rowHeight="225425"/>
  <slicer name="Product_Category" cache="Slicer_Product_Category" caption="Product_Category" rowHeight="225425"/>
  <slicer name="Date" cache="Slicer_Date" caption="Date" rowHeight="225425"/>
</slicers>
</file>

<file path=xl/tables/table1.xml><?xml version="1.0" encoding="utf-8"?>
<table xmlns="http://schemas.openxmlformats.org/spreadsheetml/2006/main" id="1" name="Table1" displayName="Table1" ref="A1:F16" totalsRowShown="0">
  <autoFilter xmlns:etc="http://www.wps.cn/officeDocument/2017/etCustomData" ref="A1:F16" etc:filterBottomFollowUsedRange="0"/>
  <tableColumns count="6">
    <tableColumn id="1" name="Date" dataDxfId="0"/>
    <tableColumn id="2" name="Region" dataDxfId="1"/>
    <tableColumn id="3" name="Salesperson" dataDxfId="2"/>
    <tableColumn id="4" name="Product_Category" dataDxfId="3"/>
    <tableColumn id="5" name="Revenue" dataDxfId="4"/>
    <tableColumn id="6" name="Units_Sold" dataDxfId="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8"/>
  <sheetViews>
    <sheetView showGridLines="0" tabSelected="1" workbookViewId="0">
      <selection activeCell="M4" sqref="M4"/>
    </sheetView>
  </sheetViews>
  <sheetFormatPr defaultColWidth="8.88888888888889" defaultRowHeight="14.4" outlineLevelRow="7"/>
  <cols>
    <col min="1" max="1" width="11.6666666666667"/>
    <col min="2" max="2" width="16.1111111111111"/>
    <col min="14" max="14" width="14.7777777777778"/>
    <col min="15" max="15" width="15.4444444444444"/>
  </cols>
  <sheetData>
    <row r="3" spans="1:15">
      <c r="A3" t="s">
        <v>0</v>
      </c>
      <c r="B3" t="s">
        <v>1</v>
      </c>
      <c r="N3" t="s">
        <v>2</v>
      </c>
      <c r="O3" t="s">
        <v>3</v>
      </c>
    </row>
    <row r="4" spans="1:15">
      <c r="A4" t="s">
        <v>4</v>
      </c>
      <c r="B4" s="6">
        <v>46000</v>
      </c>
      <c r="N4" s="7">
        <v>152500</v>
      </c>
      <c r="O4">
        <v>448</v>
      </c>
    </row>
    <row r="5" spans="1:2">
      <c r="A5" t="s">
        <v>5</v>
      </c>
      <c r="B5" s="6">
        <v>42000</v>
      </c>
    </row>
    <row r="6" spans="1:2">
      <c r="A6" t="s">
        <v>6</v>
      </c>
      <c r="B6" s="6">
        <v>29500</v>
      </c>
    </row>
    <row r="7" ht="18" spans="1:15">
      <c r="A7" t="s">
        <v>7</v>
      </c>
      <c r="B7" s="6">
        <v>35000</v>
      </c>
      <c r="N7" s="8"/>
      <c r="O7" s="8"/>
    </row>
    <row r="8" ht="18" customHeight="1" spans="1:15">
      <c r="A8" t="s">
        <v>8</v>
      </c>
      <c r="B8" s="6">
        <v>152500</v>
      </c>
      <c r="N8" s="9"/>
      <c r="O8" s="10"/>
    </row>
  </sheetData>
  <pageMargins left="0.75" right="0.75" top="1" bottom="1" header="0.5" footer="0.5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C1" workbookViewId="0">
      <selection activeCell="G25" sqref="G25"/>
    </sheetView>
  </sheetViews>
  <sheetFormatPr defaultColWidth="8.88888888888889" defaultRowHeight="14.4" outlineLevelCol="5"/>
  <cols>
    <col min="1" max="1" width="10.3333333333333" style="1" customWidth="1"/>
    <col min="2" max="2" width="7.44444444444444" customWidth="1"/>
    <col min="3" max="3" width="19.7777777777778"/>
    <col min="4" max="4" width="16.1111111111111"/>
    <col min="5" max="5" width="9" customWidth="1"/>
    <col min="6" max="6" width="10.7777777777778" customWidth="1"/>
    <col min="16" max="17" width="15"/>
  </cols>
  <sheetData>
    <row r="1" spans="1:6">
      <c r="A1" s="2" t="s">
        <v>9</v>
      </c>
      <c r="B1" s="3" t="s">
        <v>0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>
      <c r="A2" s="4">
        <v>45292</v>
      </c>
      <c r="B2" s="5" t="s">
        <v>5</v>
      </c>
      <c r="C2" s="5" t="s">
        <v>14</v>
      </c>
      <c r="D2" s="5" t="s">
        <v>15</v>
      </c>
      <c r="E2" s="5">
        <v>12000</v>
      </c>
      <c r="F2" s="5">
        <v>25</v>
      </c>
    </row>
    <row r="3" spans="1:6">
      <c r="A3" s="4">
        <v>45352</v>
      </c>
      <c r="B3" s="5" t="s">
        <v>6</v>
      </c>
      <c r="C3" s="5" t="s">
        <v>16</v>
      </c>
      <c r="D3" s="5" t="s">
        <v>17</v>
      </c>
      <c r="E3" s="5">
        <v>8000</v>
      </c>
      <c r="F3" s="5">
        <v>10</v>
      </c>
    </row>
    <row r="4" spans="1:6">
      <c r="A4" s="4">
        <v>45413</v>
      </c>
      <c r="B4" s="5" t="s">
        <v>4</v>
      </c>
      <c r="C4" s="5" t="s">
        <v>18</v>
      </c>
      <c r="D4" s="5" t="s">
        <v>15</v>
      </c>
      <c r="E4" s="5">
        <v>15000</v>
      </c>
      <c r="F4" s="5">
        <v>30</v>
      </c>
    </row>
    <row r="5" spans="1:6">
      <c r="A5" s="4">
        <v>45474</v>
      </c>
      <c r="B5" s="5" t="s">
        <v>7</v>
      </c>
      <c r="C5" s="5" t="s">
        <v>19</v>
      </c>
      <c r="D5" s="5" t="s">
        <v>20</v>
      </c>
      <c r="E5" s="5">
        <v>4000</v>
      </c>
      <c r="F5" s="5">
        <v>50</v>
      </c>
    </row>
    <row r="6" spans="1:6">
      <c r="A6" s="4">
        <v>45566</v>
      </c>
      <c r="B6" s="5" t="s">
        <v>5</v>
      </c>
      <c r="C6" s="5" t="s">
        <v>14</v>
      </c>
      <c r="D6" s="5" t="s">
        <v>17</v>
      </c>
      <c r="E6" s="5">
        <v>9000</v>
      </c>
      <c r="F6" s="5">
        <v>12</v>
      </c>
    </row>
    <row r="7" spans="1:6">
      <c r="A7" s="4">
        <v>45627</v>
      </c>
      <c r="B7" s="5" t="s">
        <v>6</v>
      </c>
      <c r="C7" s="5" t="s">
        <v>16</v>
      </c>
      <c r="D7" s="5" t="s">
        <v>15</v>
      </c>
      <c r="E7" s="5">
        <v>11000</v>
      </c>
      <c r="F7" s="5">
        <v>20</v>
      </c>
    </row>
    <row r="8" spans="1:6">
      <c r="A8" s="4" t="s">
        <v>21</v>
      </c>
      <c r="B8" s="5" t="s">
        <v>4</v>
      </c>
      <c r="C8" s="5" t="s">
        <v>18</v>
      </c>
      <c r="D8" s="5" t="s">
        <v>20</v>
      </c>
      <c r="E8" s="5">
        <v>3000</v>
      </c>
      <c r="F8" s="5">
        <v>40</v>
      </c>
    </row>
    <row r="9" spans="1:6">
      <c r="A9" s="4" t="s">
        <v>22</v>
      </c>
      <c r="B9" s="5" t="s">
        <v>7</v>
      </c>
      <c r="C9" s="5" t="s">
        <v>19</v>
      </c>
      <c r="D9" s="5" t="s">
        <v>15</v>
      </c>
      <c r="E9" s="5">
        <v>17000</v>
      </c>
      <c r="F9" s="5">
        <v>35</v>
      </c>
    </row>
    <row r="10" spans="1:6">
      <c r="A10" s="4" t="s">
        <v>23</v>
      </c>
      <c r="B10" s="5" t="s">
        <v>5</v>
      </c>
      <c r="C10" s="5" t="s">
        <v>14</v>
      </c>
      <c r="D10" s="5" t="s">
        <v>20</v>
      </c>
      <c r="E10" s="5">
        <v>5000</v>
      </c>
      <c r="F10" s="5">
        <v>60</v>
      </c>
    </row>
    <row r="11" spans="1:6">
      <c r="A11" s="4" t="s">
        <v>24</v>
      </c>
      <c r="B11" s="5" t="s">
        <v>6</v>
      </c>
      <c r="C11" s="5" t="s">
        <v>16</v>
      </c>
      <c r="D11" s="5" t="s">
        <v>17</v>
      </c>
      <c r="E11" s="5">
        <v>7000</v>
      </c>
      <c r="F11" s="5">
        <v>8</v>
      </c>
    </row>
    <row r="12" spans="1:6">
      <c r="A12" s="4" t="s">
        <v>25</v>
      </c>
      <c r="B12" s="5" t="s">
        <v>4</v>
      </c>
      <c r="C12" s="5" t="s">
        <v>18</v>
      </c>
      <c r="D12" s="5" t="s">
        <v>17</v>
      </c>
      <c r="E12" s="5">
        <v>10000</v>
      </c>
      <c r="F12" s="5">
        <v>15</v>
      </c>
    </row>
    <row r="13" spans="1:6">
      <c r="A13" s="4" t="s">
        <v>26</v>
      </c>
      <c r="B13" s="5" t="s">
        <v>7</v>
      </c>
      <c r="C13" s="5" t="s">
        <v>19</v>
      </c>
      <c r="D13" s="5" t="s">
        <v>15</v>
      </c>
      <c r="E13" s="5">
        <v>14000</v>
      </c>
      <c r="F13" s="5">
        <v>28</v>
      </c>
    </row>
    <row r="14" spans="1:6">
      <c r="A14" s="4" t="s">
        <v>27</v>
      </c>
      <c r="B14" s="5" t="s">
        <v>5</v>
      </c>
      <c r="C14" s="5" t="s">
        <v>14</v>
      </c>
      <c r="D14" s="5" t="s">
        <v>15</v>
      </c>
      <c r="E14" s="5">
        <v>16000</v>
      </c>
      <c r="F14" s="5">
        <v>32</v>
      </c>
    </row>
    <row r="15" spans="1:6">
      <c r="A15" s="4">
        <v>45324</v>
      </c>
      <c r="B15" s="5" t="s">
        <v>6</v>
      </c>
      <c r="C15" s="5" t="s">
        <v>16</v>
      </c>
      <c r="D15" s="5" t="s">
        <v>20</v>
      </c>
      <c r="E15" s="5">
        <v>3500</v>
      </c>
      <c r="F15" s="5">
        <v>45</v>
      </c>
    </row>
    <row r="16" spans="1:6">
      <c r="A16" s="4">
        <v>45414</v>
      </c>
      <c r="B16" s="5" t="s">
        <v>4</v>
      </c>
      <c r="C16" s="5" t="s">
        <v>18</v>
      </c>
      <c r="D16" s="5" t="s">
        <v>15</v>
      </c>
      <c r="E16" s="5">
        <v>18000</v>
      </c>
      <c r="F16" s="5">
        <v>38</v>
      </c>
    </row>
    <row r="23" spans="3:4">
      <c r="C23" t="s">
        <v>11</v>
      </c>
      <c r="D23" t="s">
        <v>1</v>
      </c>
    </row>
    <row r="24" spans="3:4">
      <c r="C24" t="s">
        <v>15</v>
      </c>
      <c r="D24">
        <v>103000</v>
      </c>
    </row>
    <row r="25" spans="3:4">
      <c r="C25" t="s">
        <v>17</v>
      </c>
      <c r="D25">
        <v>34000</v>
      </c>
    </row>
    <row r="26" spans="3:4">
      <c r="C26" t="s">
        <v>20</v>
      </c>
      <c r="D26">
        <v>15500</v>
      </c>
    </row>
    <row r="27" spans="3:4">
      <c r="C27" t="s">
        <v>8</v>
      </c>
      <c r="D27">
        <v>152500</v>
      </c>
    </row>
  </sheetData>
  <pageMargins left="0.75" right="0.75" top="1" bottom="1" header="0.5" footer="0.5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Pivot_Analysis</vt:lpstr>
      <vt:lpstr>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Fabian Roberts</cp:lastModifiedBy>
  <dcterms:created xsi:type="dcterms:W3CDTF">2026-03-01T17:59:00Z</dcterms:created>
  <dcterms:modified xsi:type="dcterms:W3CDTF">2026-03-03T12:39:44Z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D240E72E68BE4A269355625A987BAD79_11</vt:lpwstr>
  </property>
  <property fmtid="{D5CDD505-2E9C-101B-9397-08002B2CF9AE}" pid="3" name="KSOProductBuildVer">
    <vt:lpwstr>2057-12.2.0.23197</vt:lpwstr>
  </property>
</Properties>
</file>